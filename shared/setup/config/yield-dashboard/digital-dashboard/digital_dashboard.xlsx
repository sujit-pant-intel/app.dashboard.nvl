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app.yield.nvl\shared\setup\yield-dashboard\digital-dashboard\"/>
    </mc:Choice>
  </mc:AlternateContent>
  <xr:revisionPtr revIDLastSave="0" documentId="8_{972CA221-81B6-42AB-A84F-C36AA5641151}" xr6:coauthVersionLast="47" xr6:coauthVersionMax="47" xr10:uidLastSave="{00000000-0000-0000-0000-000000000000}"/>
  <bookViews>
    <workbookView xWindow="12510" yWindow="120" windowWidth="38700" windowHeight="19860" xr2:uid="{7F78A80D-C8B9-4523-8907-ABB289FAE94C}"/>
  </bookViews>
  <sheets>
    <sheet name="Sheet2" sheetId="3" r:id="rId1"/>
  </sheets>
  <calcPr calcId="0"/>
</workbook>
</file>

<file path=xl/calcChain.xml><?xml version="1.0" encoding="utf-8"?>
<calcChain xmlns="http://schemas.openxmlformats.org/spreadsheetml/2006/main">
  <c r="C35" i="3" l="1"/>
  <c r="C34" i="3"/>
  <c r="C33" i="3"/>
  <c r="C32" i="3"/>
  <c r="C31" i="3"/>
  <c r="C30" i="3"/>
  <c r="C29" i="3"/>
  <c r="C28" i="3"/>
  <c r="C26" i="3"/>
  <c r="C25" i="3"/>
  <c r="C24" i="3"/>
  <c r="C22" i="3"/>
  <c r="C21" i="3"/>
  <c r="C20" i="3"/>
  <c r="C19" i="3"/>
  <c r="C18" i="3"/>
  <c r="C16" i="3"/>
  <c r="D15" i="3"/>
  <c r="C15" i="3"/>
  <c r="C14" i="3"/>
  <c r="D13" i="3"/>
  <c r="D17" i="3" s="1"/>
  <c r="C13" i="3"/>
  <c r="C11" i="3"/>
  <c r="D10" i="3"/>
  <c r="C10" i="3"/>
  <c r="C9" i="3"/>
  <c r="D8" i="3"/>
  <c r="C8" i="3"/>
  <c r="C6" i="3"/>
  <c r="D5" i="3"/>
  <c r="C5" i="3"/>
  <c r="C4" i="3"/>
  <c r="D3" i="3"/>
  <c r="D7" i="3" s="1"/>
  <c r="C3" i="3"/>
  <c r="C17" i="3" l="1"/>
  <c r="D12" i="3"/>
  <c r="D23" i="3" s="1"/>
  <c r="C23" i="3"/>
  <c r="C12" i="3"/>
  <c r="C7" i="3"/>
  <c r="C27" i="3"/>
</calcChain>
</file>

<file path=xl/sharedStrings.xml><?xml version="1.0" encoding="utf-8"?>
<sst xmlns="http://schemas.openxmlformats.org/spreadsheetml/2006/main" count="48" uniqueCount="43">
  <si>
    <t>Sub Module</t>
  </si>
  <si>
    <t>61C Yield Loss (Fail Bins) (%)</t>
  </si>
  <si>
    <t>61C Recovery Bins (3-4) (%)</t>
  </si>
  <si>
    <t>ARR_ATOM</t>
  </si>
  <si>
    <t>ARR_CCF</t>
  </si>
  <si>
    <t>ARR_CORE</t>
  </si>
  <si>
    <t>SUM</t>
  </si>
  <si>
    <t>FUN_ATOM</t>
  </si>
  <si>
    <t>FUN_CCF</t>
  </si>
  <si>
    <t>FUN_CORE</t>
  </si>
  <si>
    <t>SCN_ATOM</t>
  </si>
  <si>
    <t>SCN_CCF</t>
  </si>
  <si>
    <t>SCN_CORE</t>
  </si>
  <si>
    <t>RESET (19,35)</t>
  </si>
  <si>
    <t>Repair Bin 198 (Vmin Repair)</t>
  </si>
  <si>
    <t>Repair Bin 202 (Vmax Repair)</t>
  </si>
  <si>
    <t>TPI Other - B93</t>
  </si>
  <si>
    <t>TPI Other - B98</t>
  </si>
  <si>
    <t>TPI Other - B99</t>
  </si>
  <si>
    <t>Analog (11,13,16,24,25,27,28,32,36,39,46,48,51,64,71,74,75)</t>
  </si>
  <si>
    <t>TPI Foundry (7,8,9,10,15,18,40,43)</t>
  </si>
  <si>
    <t>TPI Other (17,31,88,90,91,94,95,97)</t>
  </si>
  <si>
    <t>HVQK (26)</t>
  </si>
  <si>
    <t>Module</t>
  </si>
  <si>
    <t># Die</t>
  </si>
  <si>
    <t>ARR</t>
  </si>
  <si>
    <t>ARR_NonCCF</t>
  </si>
  <si>
    <t>FUN</t>
  </si>
  <si>
    <t>FUN_NonCCF</t>
  </si>
  <si>
    <t>SCAN</t>
  </si>
  <si>
    <t>SCN_NonCCF</t>
  </si>
  <si>
    <t>RESET</t>
  </si>
  <si>
    <t>FF</t>
  </si>
  <si>
    <t>Bin 1 (8+16)</t>
  </si>
  <si>
    <t>Bin 2 (8+16) (Defect &amp; Vmax Repair)</t>
  </si>
  <si>
    <t>DF</t>
  </si>
  <si>
    <t>Bin 3 (8+12) Atom Defeature</t>
  </si>
  <si>
    <t>Bin 4 (6+16) Core Defeature</t>
  </si>
  <si>
    <t>SUM (FF+DF)</t>
  </si>
  <si>
    <t>Repair</t>
  </si>
  <si>
    <t>Repair Bin 2 Other (Hard Repair)</t>
  </si>
  <si>
    <t>Other</t>
  </si>
  <si>
    <t xml:space="preserve"> Yield SUM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</si>
</sst>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0" borderId="10" xfId="0" applyFont="1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4" xfId="0" applyBorder="1" applyAlignment="1">
      <alignment horizontal="left"/>
    </xf>
    <xf numFmtId="0" fontId="0" fillId="0" borderId="10" xfId="0" applyBorder="1"/>
    <xf numFmtId="0" fontId="0" fillId="0" borderId="1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0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0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18" fillId="33" borderId="24" xfId="0" applyFont="1" applyFill="1" applyBorder="1" applyAlignment="1">
      <alignment wrapText="1"/>
    </xf>
    <xf numFmtId="0" fontId="0" fillId="0" borderId="13" xfId="0" applyBorder="1" applyAlignment="1">
      <alignment horizontal="center" vertical="center"/>
    </xf>
    <xf numFmtId="168" fontId="18" fillId="0" borderId="14" xfId="7" applyNumberFormat="1" applyFont="1" applyFill="1" applyBorder="1"/>
    <xf numFmtId="168" fontId="18" fillId="0" borderId="13" xfId="7" applyNumberFormat="1" applyFont="1" applyFill="1" applyBorder="1"/>
    <xf numFmtId="0" fontId="0" fillId="0" borderId="15" xfId="0" applyBorder="1" applyAlignment="1">
      <alignment horizontal="center" vertical="center"/>
    </xf>
    <xf numFmtId="168" fontId="18" fillId="0" borderId="17" xfId="7" applyNumberFormat="1" applyFont="1" applyFill="1" applyBorder="1"/>
    <xf numFmtId="168" fontId="18" fillId="33" borderId="15" xfId="1" applyNumberFormat="1" applyFont="1" applyFill="1" applyBorder="1"/>
    <xf numFmtId="168" fontId="18" fillId="0" borderId="15" xfId="7" applyNumberFormat="1" applyFont="1" applyFill="1" applyBorder="1"/>
    <xf numFmtId="0" fontId="0" fillId="0" borderId="33" xfId="0" applyBorder="1" applyAlignment="1">
      <alignment horizontal="center" vertical="center"/>
    </xf>
    <xf numFmtId="0" fontId="16" fillId="0" borderId="18" xfId="0" applyFont="1" applyBorder="1" applyAlignment="1">
      <alignment horizontal="right"/>
    </xf>
    <xf numFmtId="168" fontId="19" fillId="0" borderId="21" xfId="1" applyNumberFormat="1" applyFont="1" applyBorder="1"/>
    <xf numFmtId="168" fontId="19" fillId="0" borderId="29" xfId="1" applyNumberFormat="1" applyFont="1" applyBorder="1"/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6" fillId="0" borderId="25" xfId="0" applyFont="1" applyBorder="1" applyAlignment="1">
      <alignment horizontal="right"/>
    </xf>
    <xf numFmtId="168" fontId="19" fillId="0" borderId="27" xfId="1" applyNumberFormat="1" applyFont="1" applyBorder="1"/>
    <xf numFmtId="168" fontId="18" fillId="0" borderId="17" xfId="8" applyNumberFormat="1" applyFont="1" applyFill="1" applyBorder="1"/>
    <xf numFmtId="0" fontId="16" fillId="0" borderId="26" xfId="0" applyFont="1" applyBorder="1" applyAlignment="1">
      <alignment horizontal="right"/>
    </xf>
    <xf numFmtId="168" fontId="18" fillId="0" borderId="19" xfId="7" applyNumberFormat="1" applyFont="1" applyFill="1" applyBorder="1"/>
    <xf numFmtId="0" fontId="18" fillId="33" borderId="20" xfId="0" applyFont="1" applyFill="1" applyBorder="1"/>
    <xf numFmtId="0" fontId="18" fillId="33" borderId="15" xfId="0" applyFont="1" applyFill="1" applyBorder="1"/>
    <xf numFmtId="168" fontId="18" fillId="34" borderId="17" xfId="7" applyNumberFormat="1" applyFont="1" applyFill="1" applyBorder="1"/>
    <xf numFmtId="0" fontId="0" fillId="0" borderId="24" xfId="0" applyBorder="1" applyAlignment="1">
      <alignment horizontal="center"/>
    </xf>
    <xf numFmtId="0" fontId="16" fillId="0" borderId="27" xfId="0" applyFont="1" applyBorder="1" applyAlignment="1">
      <alignment horizontal="right"/>
    </xf>
    <xf numFmtId="168" fontId="18" fillId="0" borderId="17" xfId="1" applyNumberFormat="1" applyFont="1" applyBorder="1"/>
    <xf numFmtId="168" fontId="19" fillId="33" borderId="15" xfId="1" applyNumberFormat="1" applyFont="1" applyFill="1" applyBorder="1"/>
    <xf numFmtId="168" fontId="18" fillId="0" borderId="17" xfId="1" applyNumberFormat="1" applyFont="1" applyFill="1" applyBorder="1"/>
    <xf numFmtId="0" fontId="16" fillId="0" borderId="12" xfId="0" applyFont="1" applyBorder="1" applyAlignment="1">
      <alignment horizontal="right"/>
    </xf>
    <xf numFmtId="168" fontId="19" fillId="0" borderId="17" xfId="1" applyNumberFormat="1" applyFont="1" applyBorder="1"/>
    <xf numFmtId="0" fontId="0" fillId="0" borderId="10" xfId="0" applyBorder="1" applyAlignment="1">
      <alignment horizontal="center" vertical="center"/>
    </xf>
    <xf numFmtId="0" fontId="18" fillId="33" borderId="13" xfId="0" applyFont="1" applyFill="1" applyBorder="1"/>
    <xf numFmtId="0" fontId="0" fillId="0" borderId="11" xfId="0" applyBorder="1" applyAlignment="1">
      <alignment horizontal="center" vertical="center"/>
    </xf>
    <xf numFmtId="168" fontId="18" fillId="0" borderId="17" xfId="9" applyNumberFormat="1" applyFont="1" applyFill="1" applyBorder="1"/>
    <xf numFmtId="0" fontId="0" fillId="0" borderId="12" xfId="0" applyBorder="1" applyAlignment="1">
      <alignment horizontal="center" vertical="center"/>
    </xf>
    <xf numFmtId="168" fontId="18" fillId="0" borderId="16" xfId="7" applyNumberFormat="1" applyFont="1" applyFill="1" applyBorder="1"/>
    <xf numFmtId="0" fontId="18" fillId="33" borderId="24" xfId="0" applyFont="1" applyFill="1" applyBorder="1"/>
    <xf numFmtId="0" fontId="0" fillId="0" borderId="32" xfId="0" applyBorder="1"/>
    <xf numFmtId="0" fontId="16" fillId="0" borderId="31" xfId="0" applyFont="1" applyBorder="1" applyAlignment="1">
      <alignment horizontal="right"/>
    </xf>
    <xf numFmtId="168" fontId="19" fillId="0" borderId="19" xfId="0" applyNumberFormat="1" applyFont="1" applyBorder="1"/>
    <xf numFmtId="168" fontId="19" fillId="0" borderId="20" xfId="0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8D55-C647-4322-9BBB-70D79276F86B}">
  <dimension ref="A1:D35"/>
  <sheetViews>
    <sheetView tabSelected="1" workbookViewId="0">
      <selection activeCell="C10" sqref="C10"/>
    </sheetView>
  </sheetViews>
  <sheetFormatPr defaultRowHeight="15" x14ac:dyDescent="0.25"/>
  <cols>
    <col min="1" max="1" width="7.85546875" bestFit="1" customWidth="1"/>
    <col min="2" max="2" width="62.5703125" customWidth="1"/>
    <col min="3" max="4" width="13.140625" customWidth="1"/>
  </cols>
  <sheetData>
    <row r="1" spans="1:4" x14ac:dyDescent="0.25">
      <c r="A1" s="14" t="s">
        <v>23</v>
      </c>
      <c r="B1" t="s">
        <v>0</v>
      </c>
      <c r="C1" t="s">
        <v>1</v>
      </c>
      <c r="D1" t="s">
        <v>2</v>
      </c>
    </row>
    <row r="2" spans="1:4" ht="15.75" thickBot="1" x14ac:dyDescent="0.3">
      <c r="A2" s="5"/>
      <c r="B2" s="15" t="s">
        <v>24</v>
      </c>
      <c r="C2" s="16">
        <v>1238</v>
      </c>
      <c r="D2" s="17"/>
    </row>
    <row r="3" spans="1:4" x14ac:dyDescent="0.25">
      <c r="A3" s="18" t="s">
        <v>25</v>
      </c>
      <c r="B3" s="6" t="s">
        <v>3</v>
      </c>
      <c r="C3" s="19">
        <f>1/C2</f>
        <v>8.0775444264943462E-4</v>
      </c>
      <c r="D3" s="20">
        <f>22/C2</f>
        <v>1.7770597738287562E-2</v>
      </c>
    </row>
    <row r="4" spans="1:4" x14ac:dyDescent="0.25">
      <c r="A4" s="21"/>
      <c r="B4" s="8" t="s">
        <v>4</v>
      </c>
      <c r="C4" s="22">
        <f>6/C2</f>
        <v>4.8465266558966073E-3</v>
      </c>
      <c r="D4" s="23"/>
    </row>
    <row r="5" spans="1:4" x14ac:dyDescent="0.25">
      <c r="A5" s="21"/>
      <c r="B5" s="8" t="s">
        <v>5</v>
      </c>
      <c r="C5" s="22">
        <f>3/C2</f>
        <v>2.4232633279483036E-3</v>
      </c>
      <c r="D5" s="24">
        <f>34/C2</f>
        <v>2.7463651050080775E-2</v>
      </c>
    </row>
    <row r="6" spans="1:4" x14ac:dyDescent="0.25">
      <c r="A6" s="21"/>
      <c r="B6" s="8" t="s">
        <v>26</v>
      </c>
      <c r="C6" s="22">
        <f>0/C2</f>
        <v>0</v>
      </c>
      <c r="D6" s="23"/>
    </row>
    <row r="7" spans="1:4" ht="15.75" thickBot="1" x14ac:dyDescent="0.3">
      <c r="A7" s="25"/>
      <c r="B7" s="26" t="s">
        <v>6</v>
      </c>
      <c r="C7" s="27">
        <f>SUM(C3:C6)</f>
        <v>8.0775444264943458E-3</v>
      </c>
      <c r="D7" s="28">
        <f>SUM(D3:D6)</f>
        <v>4.5234248788368334E-2</v>
      </c>
    </row>
    <row r="8" spans="1:4" x14ac:dyDescent="0.25">
      <c r="A8" s="29" t="s">
        <v>27</v>
      </c>
      <c r="B8" s="9" t="s">
        <v>7</v>
      </c>
      <c r="C8" s="19">
        <f>5/C2</f>
        <v>4.0387722132471729E-3</v>
      </c>
      <c r="D8" s="20">
        <f>5/C2</f>
        <v>4.0387722132471729E-3</v>
      </c>
    </row>
    <row r="9" spans="1:4" x14ac:dyDescent="0.25">
      <c r="A9" s="21"/>
      <c r="B9" s="8" t="s">
        <v>8</v>
      </c>
      <c r="C9" s="22">
        <f>0/C2</f>
        <v>0</v>
      </c>
      <c r="D9" s="23"/>
    </row>
    <row r="10" spans="1:4" x14ac:dyDescent="0.25">
      <c r="A10" s="21"/>
      <c r="B10" s="8" t="s">
        <v>9</v>
      </c>
      <c r="C10" s="22">
        <f>5/C2</f>
        <v>4.0387722132471729E-3</v>
      </c>
      <c r="D10" s="24">
        <f>15/C2</f>
        <v>1.2116316639741519E-2</v>
      </c>
    </row>
    <row r="11" spans="1:4" x14ac:dyDescent="0.25">
      <c r="A11" s="21"/>
      <c r="B11" s="8" t="s">
        <v>28</v>
      </c>
      <c r="C11" s="22">
        <f>0/C2</f>
        <v>0</v>
      </c>
      <c r="D11" s="23"/>
    </row>
    <row r="12" spans="1:4" ht="15.75" thickBot="1" x14ac:dyDescent="0.3">
      <c r="A12" s="30"/>
      <c r="B12" s="31" t="s">
        <v>6</v>
      </c>
      <c r="C12" s="32">
        <f>SUM(C8:C11)</f>
        <v>8.0775444264943458E-3</v>
      </c>
      <c r="D12" s="28">
        <f>SUM(D8:D11)</f>
        <v>1.6155088852988692E-2</v>
      </c>
    </row>
    <row r="13" spans="1:4" x14ac:dyDescent="0.25">
      <c r="A13" s="18" t="s">
        <v>29</v>
      </c>
      <c r="B13" s="10" t="s">
        <v>10</v>
      </c>
      <c r="C13" s="19">
        <f>5/C2</f>
        <v>4.0387722132471729E-3</v>
      </c>
      <c r="D13" s="20">
        <f>37/C2</f>
        <v>2.9886914378029081E-2</v>
      </c>
    </row>
    <row r="14" spans="1:4" x14ac:dyDescent="0.25">
      <c r="A14" s="21"/>
      <c r="B14" s="10" t="s">
        <v>11</v>
      </c>
      <c r="C14" s="22">
        <f>13/C2</f>
        <v>1.050080775444265E-2</v>
      </c>
      <c r="D14" s="23"/>
    </row>
    <row r="15" spans="1:4" x14ac:dyDescent="0.25">
      <c r="A15" s="21"/>
      <c r="B15" s="10" t="s">
        <v>12</v>
      </c>
      <c r="C15" s="33">
        <f>7/C2</f>
        <v>5.6542810985460417E-3</v>
      </c>
      <c r="D15" s="24">
        <f>27/C2</f>
        <v>2.1809369951534735E-2</v>
      </c>
    </row>
    <row r="16" spans="1:4" x14ac:dyDescent="0.25">
      <c r="A16" s="21"/>
      <c r="B16" s="10" t="s">
        <v>30</v>
      </c>
      <c r="C16" s="22">
        <f>0/C2</f>
        <v>0</v>
      </c>
      <c r="D16" s="23"/>
    </row>
    <row r="17" spans="1:4" ht="15.75" thickBot="1" x14ac:dyDescent="0.3">
      <c r="A17" s="25"/>
      <c r="B17" s="34" t="s">
        <v>6</v>
      </c>
      <c r="C17" s="32">
        <f>SUM(C13:C16)</f>
        <v>2.0193861066235864E-2</v>
      </c>
      <c r="D17" s="28">
        <f>SUM(D13:D16)</f>
        <v>5.1696284329563816E-2</v>
      </c>
    </row>
    <row r="18" spans="1:4" ht="15.75" thickBot="1" x14ac:dyDescent="0.3">
      <c r="A18" s="11" t="s">
        <v>31</v>
      </c>
      <c r="B18" s="12" t="s">
        <v>13</v>
      </c>
      <c r="C18" s="35">
        <f>24/C2</f>
        <v>1.9386106623586429E-2</v>
      </c>
      <c r="D18" s="36"/>
    </row>
    <row r="19" spans="1:4" x14ac:dyDescent="0.25">
      <c r="A19" s="13" t="s">
        <v>32</v>
      </c>
      <c r="B19" s="8" t="s">
        <v>33</v>
      </c>
      <c r="C19" s="22">
        <f>923/C2</f>
        <v>0.74555735056542816</v>
      </c>
      <c r="D19" s="37"/>
    </row>
    <row r="20" spans="1:4" x14ac:dyDescent="0.25">
      <c r="A20" s="13" t="s">
        <v>32</v>
      </c>
      <c r="B20" s="8" t="s">
        <v>34</v>
      </c>
      <c r="C20" s="22">
        <f>48/C2</f>
        <v>3.8772213247172858E-2</v>
      </c>
      <c r="D20" s="37"/>
    </row>
    <row r="21" spans="1:4" x14ac:dyDescent="0.25">
      <c r="A21" s="13" t="s">
        <v>35</v>
      </c>
      <c r="B21" s="8" t="s">
        <v>36</v>
      </c>
      <c r="C21" s="38">
        <f>64/C2</f>
        <v>5.1696284329563816E-2</v>
      </c>
      <c r="D21" s="37"/>
    </row>
    <row r="22" spans="1:4" x14ac:dyDescent="0.25">
      <c r="A22" s="13" t="s">
        <v>35</v>
      </c>
      <c r="B22" s="8" t="s">
        <v>37</v>
      </c>
      <c r="C22" s="22">
        <f>76/C2</f>
        <v>6.1389337641357025E-2</v>
      </c>
      <c r="D22" s="37"/>
    </row>
    <row r="23" spans="1:4" ht="15.75" thickBot="1" x14ac:dyDescent="0.3">
      <c r="A23" s="39"/>
      <c r="B23" s="40" t="s">
        <v>38</v>
      </c>
      <c r="C23" s="32">
        <f>SUM(C19:C22)</f>
        <v>0.89741518578352186</v>
      </c>
      <c r="D23" s="28">
        <f>SUM(D7,D12,D17,D18)</f>
        <v>0.11308562197092084</v>
      </c>
    </row>
    <row r="24" spans="1:4" x14ac:dyDescent="0.25">
      <c r="A24" s="18" t="s">
        <v>39</v>
      </c>
      <c r="B24" s="7" t="s">
        <v>14</v>
      </c>
      <c r="C24" s="41">
        <f>27/C2</f>
        <v>2.1809369951534735E-2</v>
      </c>
      <c r="D24" s="42"/>
    </row>
    <row r="25" spans="1:4" x14ac:dyDescent="0.25">
      <c r="A25" s="21"/>
      <c r="B25" s="2" t="s">
        <v>15</v>
      </c>
      <c r="C25" s="43">
        <f>2/C2</f>
        <v>1.6155088852988692E-3</v>
      </c>
      <c r="D25" s="42"/>
    </row>
    <row r="26" spans="1:4" x14ac:dyDescent="0.25">
      <c r="A26" s="21"/>
      <c r="B26" s="2" t="s">
        <v>40</v>
      </c>
      <c r="C26" s="41">
        <f>46/C2</f>
        <v>3.7156704361873988E-2</v>
      </c>
      <c r="D26" s="42"/>
    </row>
    <row r="27" spans="1:4" ht="15.75" thickBot="1" x14ac:dyDescent="0.3">
      <c r="A27" s="30"/>
      <c r="B27" s="44" t="s">
        <v>6</v>
      </c>
      <c r="C27" s="45">
        <f>SUM(C24:C26)</f>
        <v>6.0581583198707593E-2</v>
      </c>
      <c r="D27" s="42"/>
    </row>
    <row r="28" spans="1:4" x14ac:dyDescent="0.25">
      <c r="A28" s="46" t="s">
        <v>41</v>
      </c>
      <c r="B28" s="1" t="s">
        <v>19</v>
      </c>
      <c r="C28" s="19">
        <f>6/C2</f>
        <v>4.8465266558966073E-3</v>
      </c>
      <c r="D28" s="47"/>
    </row>
    <row r="29" spans="1:4" x14ac:dyDescent="0.25">
      <c r="A29" s="48"/>
      <c r="B29" s="2" t="s">
        <v>20</v>
      </c>
      <c r="C29" s="49">
        <f>19/C2</f>
        <v>1.5347334410339256E-2</v>
      </c>
      <c r="D29" s="37"/>
    </row>
    <row r="30" spans="1:4" x14ac:dyDescent="0.25">
      <c r="A30" s="48"/>
      <c r="B30" s="2" t="s">
        <v>21</v>
      </c>
      <c r="C30" s="22">
        <f>6/C2</f>
        <v>4.8465266558966073E-3</v>
      </c>
      <c r="D30" s="37"/>
    </row>
    <row r="31" spans="1:4" x14ac:dyDescent="0.25">
      <c r="A31" s="48"/>
      <c r="B31" s="3" t="s">
        <v>16</v>
      </c>
      <c r="C31" s="49">
        <f>18/C2</f>
        <v>1.4539579967689823E-2</v>
      </c>
      <c r="D31" s="37"/>
    </row>
    <row r="32" spans="1:4" x14ac:dyDescent="0.25">
      <c r="A32" s="48"/>
      <c r="B32" s="3" t="s">
        <v>17</v>
      </c>
      <c r="C32" s="22">
        <f>0/C2</f>
        <v>0</v>
      </c>
      <c r="D32" s="37"/>
    </row>
    <row r="33" spans="1:4" x14ac:dyDescent="0.25">
      <c r="A33" s="48"/>
      <c r="B33" s="3" t="s">
        <v>18</v>
      </c>
      <c r="C33" s="22">
        <f>2/C2</f>
        <v>1.6155088852988692E-3</v>
      </c>
      <c r="D33" s="37"/>
    </row>
    <row r="34" spans="1:4" ht="15.75" thickBot="1" x14ac:dyDescent="0.3">
      <c r="A34" s="50"/>
      <c r="B34" s="4" t="s">
        <v>22</v>
      </c>
      <c r="C34" s="51">
        <f>7/C2</f>
        <v>5.6542810985460417E-3</v>
      </c>
      <c r="D34" s="52"/>
    </row>
    <row r="35" spans="1:4" ht="15.75" thickBot="1" x14ac:dyDescent="0.3">
      <c r="A35" s="53"/>
      <c r="B35" s="54" t="s">
        <v>42</v>
      </c>
      <c r="C35" s="55">
        <f>SUM(C7,C12,C17,C18,C23,C28,C29,C30,C31,C32,C33,C34)</f>
        <v>1</v>
      </c>
      <c r="D35" s="56"/>
    </row>
  </sheetData>
  <mergeCells count="5">
    <mergeCell ref="A3:A7"/>
    <mergeCell ref="A8:A12"/>
    <mergeCell ref="A13:A17"/>
    <mergeCell ref="A24:A27"/>
    <mergeCell ref="A28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Pant, Sujit N</dc:creator>
  <cp:lastModifiedBy>Pant, Sujit N</cp:lastModifiedBy>
  <dcterms:created xsi:type="dcterms:W3CDTF">2026-05-21T03:53:04Z</dcterms:created>
  <dcterms:modified xsi:type="dcterms:W3CDTF">2026-05-21T03:53:05Z</dcterms:modified>
</cp:coreProperties>
</file>